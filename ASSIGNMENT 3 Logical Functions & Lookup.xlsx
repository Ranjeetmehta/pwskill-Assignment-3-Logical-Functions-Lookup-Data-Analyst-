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plg\Downloads\"/>
    </mc:Choice>
  </mc:AlternateContent>
  <xr:revisionPtr revIDLastSave="0" documentId="13_ncr:1_{97E5E878-4FD1-457B-BC5B-491C3A16DF4D}" xr6:coauthVersionLast="47" xr6:coauthVersionMax="47" xr10:uidLastSave="{00000000-0000-0000-0000-000000000000}"/>
  <bookViews>
    <workbookView xWindow="-120" yWindow="-120" windowWidth="29040" windowHeight="15720" activeTab="7" xr2:uid="{D2887969-330C-4180-A1ED-C649875C75B4}"/>
  </bookViews>
  <sheets>
    <sheet name="Q1 ans" sheetId="1" r:id="rId1"/>
    <sheet name="Q2 ans" sheetId="2" r:id="rId2"/>
    <sheet name="Q3 ans" sheetId="3" r:id="rId3"/>
    <sheet name="Q4 ans" sheetId="4" r:id="rId4"/>
    <sheet name="Q5 ans" sheetId="5" r:id="rId5"/>
    <sheet name="Q6 ans" sheetId="6" r:id="rId6"/>
    <sheet name="Q7 ans" sheetId="7" r:id="rId7"/>
    <sheet name="Q8 an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D5" i="6"/>
  <c r="D3" i="6"/>
  <c r="D4" i="6"/>
  <c r="D2" i="6"/>
  <c r="E5" i="8"/>
  <c r="E4" i="7"/>
  <c r="D2" i="5"/>
  <c r="C12" i="3" a="1"/>
  <c r="C12" i="3" s="1"/>
  <c r="C7" i="3" a="1"/>
  <c r="C7" i="3" s="1"/>
  <c r="C3" i="3" a="1"/>
  <c r="C3" i="3"/>
  <c r="C4" i="3" a="1"/>
  <c r="C4" i="3" s="1"/>
  <c r="C5" i="3" a="1"/>
  <c r="C5" i="3" s="1"/>
  <c r="C6" i="3" a="1"/>
  <c r="C6" i="3"/>
  <c r="C2" i="3" a="1"/>
  <c r="C2" i="3" s="1"/>
  <c r="E5" i="2"/>
  <c r="E6" i="2"/>
  <c r="E7" i="2"/>
  <c r="E4" i="2"/>
  <c r="M2" i="1" a="1"/>
  <c r="M2" i="1" s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<sst xmlns="http://schemas.openxmlformats.org/spreadsheetml/2006/main" count="91" uniqueCount="74">
  <si>
    <t>Student Name</t>
  </si>
  <si>
    <t>Marks</t>
  </si>
  <si>
    <t>Riya</t>
  </si>
  <si>
    <t>Siya</t>
  </si>
  <si>
    <t>Raju</t>
  </si>
  <si>
    <t>Rahul</t>
  </si>
  <si>
    <t>Ram</t>
  </si>
  <si>
    <t>Write a formula to check if the marks in cell are greater than or equal to 40. If yes, return , otherwise . B2 "Pass" "Fail"</t>
  </si>
  <si>
    <t>Ans:-</t>
  </si>
  <si>
    <t>formula=IF(B2&gt;=40,"Pass","Fail")</t>
  </si>
  <si>
    <t>for checking all column below</t>
  </si>
  <si>
    <t>note for exta :-</t>
  </si>
  <si>
    <t xml:space="preserve"> Sales</t>
  </si>
  <si>
    <t xml:space="preserve">Employee </t>
  </si>
  <si>
    <t>Attendance</t>
  </si>
  <si>
    <t>Arjun</t>
  </si>
  <si>
    <t>Simran</t>
  </si>
  <si>
    <t>Rohit</t>
  </si>
  <si>
    <t>Anjali</t>
  </si>
  <si>
    <t>company gives a bonus  if sales are above 40,000 and attendance is greater than or equal to 90%. Write a formula to calculate whether the employee will get a bonus or not .</t>
  </si>
  <si>
    <t>BONUS/Not bonus</t>
  </si>
  <si>
    <t>formula=IF(AND(B5&gt;40000,C5&gt;=90%),"bonus","not Bonus")</t>
  </si>
  <si>
    <t>Students Name</t>
  </si>
  <si>
    <t>Raj</t>
  </si>
  <si>
    <t>Neha</t>
  </si>
  <si>
    <t>Vivek</t>
  </si>
  <si>
    <t>Rani</t>
  </si>
  <si>
    <t>Sneha</t>
  </si>
  <si>
    <t>Formula=IFS(B2&gt;=90,"A",B2&gt;=75,"B",B2&gt;=50,"C",B2,"Fail")</t>
  </si>
  <si>
    <t>Grade</t>
  </si>
  <si>
    <t>ans</t>
  </si>
  <si>
    <t>mona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</si>
  <si>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</si>
  <si>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</si>
  <si>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</si>
  <si>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</si>
  <si>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</si>
  <si>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</si>
  <si>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</si>
  <si>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</si>
  <si>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</si>
  <si>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Sales</t>
  </si>
  <si>
    <t>Finance</t>
  </si>
  <si>
    <t>HR</t>
  </si>
  <si>
    <t>IT</t>
  </si>
  <si>
    <t>Sales Amount</t>
  </si>
  <si>
    <t>Commission Rate</t>
  </si>
  <si>
    <t>lookup value</t>
  </si>
  <si>
    <t>formula=VLOOKUP(F3,A2:B5,2,TRUE)</t>
  </si>
  <si>
    <t>Ans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</si>
  <si>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</si>
  <si>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</si>
  <si>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</si>
  <si>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</si>
  <si>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</si>
  <si>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</si>
  <si>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 If Leaves Taken &gt; Allowed Leaves, display "Exceeded". Otherwise, display "OK".</t>
  </si>
  <si>
    <t>Salary</t>
  </si>
  <si>
    <t>E105</t>
  </si>
  <si>
    <t>E106</t>
  </si>
  <si>
    <t>E303</t>
  </si>
  <si>
    <t>E301</t>
  </si>
  <si>
    <t>Find the salary of EmpID = E105 using INDEX-MATCH Function</t>
  </si>
  <si>
    <t>formula:=INDEX(B2:B5,MATCH("E105",A2:A5,0))</t>
  </si>
  <si>
    <t>use the XLOOKUP function to find the Department of the employee with Emp ID = E303.</t>
  </si>
  <si>
    <t>Formula:=XLOOKUP("E303",A2:A5,B2:B5)</t>
  </si>
  <si>
    <t>example</t>
  </si>
  <si>
    <t>formula:=IF(B2&gt;C2,"Exceeded","OK")</t>
  </si>
  <si>
    <t>Result</t>
  </si>
  <si>
    <t>Find the Department of Employee ID = E103. Also explain which LOOKUP function is used and why?</t>
  </si>
  <si>
    <t>Formula:=XLOOKUP("E103",A5:A8,C5:C8)</t>
  </si>
  <si>
    <t xml:space="preserve">I use Xlookup function because </t>
  </si>
  <si>
    <t>simple and easy to use no column no needed</t>
  </si>
  <si>
    <t>exact match bydefault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</si>
</sst>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0" fillId="2" borderId="0" xfId="0" applyFill="1"/>
    <xf numFmtId="0" fontId="2" fillId="3" borderId="0" xfId="0" applyFont="1" applyFill="1"/>
    <xf numFmtId="0" fontId="0" fillId="0" borderId="1" xfId="0" applyFont="1" applyBorder="1"/>
    <xf numFmtId="0" fontId="4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0" borderId="2" xfId="0" applyFill="1" applyBorder="1"/>
    <xf numFmtId="0" fontId="0" fillId="2" borderId="1" xfId="0" applyFill="1" applyBorder="1"/>
    <xf numFmtId="0" fontId="0" fillId="5" borderId="0" xfId="0" applyFill="1"/>
    <xf numFmtId="0" fontId="0" fillId="0" borderId="1" xfId="0" applyFill="1" applyBorder="1"/>
    <xf numFmtId="9" fontId="0" fillId="0" borderId="1" xfId="1" applyFont="1" applyBorder="1"/>
    <xf numFmtId="9" fontId="0" fillId="0" borderId="0" xfId="1" applyFont="1" applyFill="1" applyBorder="1"/>
    <xf numFmtId="9" fontId="0" fillId="2" borderId="0" xfId="1" applyFont="1" applyFill="1"/>
    <xf numFmtId="0" fontId="0" fillId="0" borderId="0" xfId="0" applyAlignment="1">
      <alignment horizontal="center"/>
    </xf>
    <xf numFmtId="0" fontId="0" fillId="6" borderId="0" xfId="0" applyFont="1" applyFill="1"/>
    <xf numFmtId="0" fontId="3" fillId="6" borderId="0" xfId="0" applyFont="1" applyFill="1"/>
    <xf numFmtId="0" fontId="6" fillId="6" borderId="0" xfId="0" applyFont="1" applyFill="1"/>
    <xf numFmtId="0" fontId="3" fillId="4" borderId="0" xfId="0" applyFont="1" applyFill="1"/>
    <xf numFmtId="0" fontId="0" fillId="7" borderId="0" xfId="0" applyFill="1"/>
    <xf numFmtId="0" fontId="3" fillId="8" borderId="2" xfId="0" applyFont="1" applyFill="1" applyBorder="1"/>
    <xf numFmtId="0" fontId="0" fillId="8" borderId="0" xfId="0" applyFill="1"/>
    <xf numFmtId="0" fontId="0" fillId="9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8981-5051-4CF1-A89C-5179C7E23C37}">
  <dimension ref="A1:N10"/>
  <sheetViews>
    <sheetView workbookViewId="0">
      <selection activeCell="A10" sqref="A10:K10"/>
    </sheetView>
  </sheetViews>
  <sheetFormatPr defaultRowHeight="15" x14ac:dyDescent="0.25"/>
  <cols>
    <col min="1" max="1" width="16" customWidth="1"/>
    <col min="11" max="11" width="19.140625" customWidth="1"/>
  </cols>
  <sheetData>
    <row r="1" spans="1:14" ht="15.75" x14ac:dyDescent="0.25">
      <c r="A1" s="3" t="s">
        <v>0</v>
      </c>
      <c r="B1" s="3" t="s">
        <v>1</v>
      </c>
      <c r="K1" s="5" t="s">
        <v>11</v>
      </c>
      <c r="L1" s="5" t="s">
        <v>10</v>
      </c>
      <c r="M1" s="5"/>
      <c r="N1" s="5"/>
    </row>
    <row r="2" spans="1:14" x14ac:dyDescent="0.25">
      <c r="A2" s="1" t="s">
        <v>2</v>
      </c>
      <c r="B2" s="1">
        <v>45</v>
      </c>
      <c r="C2" s="4" t="s">
        <v>8</v>
      </c>
      <c r="D2" s="4" t="str">
        <f>IF(B2&gt;=40,"Pass","Fail")</f>
        <v>Pass</v>
      </c>
      <c r="F2" s="4" t="s">
        <v>9</v>
      </c>
      <c r="G2" s="4"/>
      <c r="H2" s="4"/>
      <c r="I2" s="4"/>
      <c r="K2" s="5"/>
      <c r="L2" s="5"/>
      <c r="M2" s="5" t="str" cm="1">
        <f t="array" ref="M2:M6">IF(B2:B6&gt;=40,"Pass","Fail")</f>
        <v>Pass</v>
      </c>
      <c r="N2" s="5"/>
    </row>
    <row r="3" spans="1:14" x14ac:dyDescent="0.25">
      <c r="A3" s="1" t="s">
        <v>3</v>
      </c>
      <c r="B3" s="1">
        <v>72</v>
      </c>
      <c r="K3" s="5"/>
      <c r="L3" s="5"/>
      <c r="M3" s="5" t="str">
        <v>Pass</v>
      </c>
      <c r="N3" s="5"/>
    </row>
    <row r="4" spans="1:14" x14ac:dyDescent="0.25">
      <c r="A4" s="1" t="s">
        <v>4</v>
      </c>
      <c r="B4" s="1">
        <v>55</v>
      </c>
      <c r="K4" s="5"/>
      <c r="L4" s="5"/>
      <c r="M4" s="5" t="str">
        <v>Pass</v>
      </c>
      <c r="N4" s="5"/>
    </row>
    <row r="5" spans="1:14" x14ac:dyDescent="0.25">
      <c r="A5" s="1" t="s">
        <v>5</v>
      </c>
      <c r="B5" s="1">
        <v>80</v>
      </c>
      <c r="K5" s="5"/>
      <c r="L5" s="5"/>
      <c r="M5" s="5" t="str">
        <v>Pass</v>
      </c>
      <c r="N5" s="5"/>
    </row>
    <row r="6" spans="1:14" x14ac:dyDescent="0.25">
      <c r="A6" s="1" t="s">
        <v>6</v>
      </c>
      <c r="B6" s="1">
        <v>30</v>
      </c>
      <c r="K6" s="5"/>
      <c r="L6" s="5"/>
      <c r="M6" s="5" t="str">
        <v>Fail</v>
      </c>
      <c r="N6" s="5"/>
    </row>
    <row r="10" spans="1:14" x14ac:dyDescent="0.25">
      <c r="A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BAC9-A63C-4C40-AE3F-7AC683338B69}">
  <dimension ref="A1:E11"/>
  <sheetViews>
    <sheetView workbookViewId="0">
      <selection activeCell="M14" sqref="M14"/>
    </sheetView>
  </sheetViews>
  <sheetFormatPr defaultRowHeight="15" x14ac:dyDescent="0.25"/>
  <cols>
    <col min="1" max="1" width="10.85546875" customWidth="1"/>
    <col min="2" max="2" width="15.140625" customWidth="1"/>
    <col min="3" max="3" width="12.28515625" customWidth="1"/>
    <col min="5" max="5" width="19.140625" customWidth="1"/>
  </cols>
  <sheetData>
    <row r="1" spans="1:5" x14ac:dyDescent="0.25">
      <c r="A1" t="s">
        <v>19</v>
      </c>
    </row>
    <row r="3" spans="1:5" ht="15.75" x14ac:dyDescent="0.25">
      <c r="A3" s="3" t="s">
        <v>13</v>
      </c>
      <c r="B3" s="3" t="s">
        <v>12</v>
      </c>
      <c r="C3" s="3" t="s">
        <v>14</v>
      </c>
      <c r="E3" s="7" t="s">
        <v>20</v>
      </c>
    </row>
    <row r="4" spans="1:5" x14ac:dyDescent="0.25">
      <c r="A4" s="6" t="s">
        <v>15</v>
      </c>
      <c r="B4" s="6">
        <v>55000</v>
      </c>
      <c r="C4" s="6">
        <v>95</v>
      </c>
      <c r="E4" s="8" t="str">
        <f>IF(AND(B4&gt;40000,C4&gt;=90%),"bonus","not Bonus")</f>
        <v>bonus</v>
      </c>
    </row>
    <row r="5" spans="1:5" x14ac:dyDescent="0.25">
      <c r="A5" s="6" t="s">
        <v>16</v>
      </c>
      <c r="B5" s="6">
        <v>65000</v>
      </c>
      <c r="C5" s="6">
        <v>85</v>
      </c>
      <c r="E5" s="8" t="str">
        <f t="shared" ref="E5:E7" si="0">IF(AND(B5&gt;40000,C5&gt;=90%),"bonus","not Bonus")</f>
        <v>bonus</v>
      </c>
    </row>
    <row r="6" spans="1:5" x14ac:dyDescent="0.25">
      <c r="A6" s="6" t="s">
        <v>17</v>
      </c>
      <c r="B6" s="6">
        <v>30000</v>
      </c>
      <c r="C6" s="6">
        <v>90</v>
      </c>
      <c r="E6" s="8" t="str">
        <f t="shared" si="0"/>
        <v>not Bonus</v>
      </c>
    </row>
    <row r="7" spans="1:5" x14ac:dyDescent="0.25">
      <c r="A7" s="6" t="s">
        <v>18</v>
      </c>
      <c r="B7" s="6">
        <v>25000</v>
      </c>
      <c r="C7" s="6">
        <v>65</v>
      </c>
      <c r="E7" s="8" t="str">
        <f t="shared" si="0"/>
        <v>not Bonus</v>
      </c>
    </row>
    <row r="11" spans="1:5" x14ac:dyDescent="0.25">
      <c r="B11" s="9" t="s">
        <v>21</v>
      </c>
      <c r="C11" s="9"/>
      <c r="D11" s="9"/>
      <c r="E1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0B96-8707-4341-A3E1-B9EFF468B5BF}">
  <dimension ref="A1:G12"/>
  <sheetViews>
    <sheetView workbookViewId="0">
      <selection activeCell="S9" sqref="S9"/>
    </sheetView>
  </sheetViews>
  <sheetFormatPr defaultRowHeight="15" x14ac:dyDescent="0.25"/>
  <cols>
    <col min="1" max="1" width="17.140625" customWidth="1"/>
  </cols>
  <sheetData>
    <row r="1" spans="1:7" ht="15.75" x14ac:dyDescent="0.25">
      <c r="A1" s="3" t="s">
        <v>22</v>
      </c>
      <c r="B1" s="3" t="s">
        <v>1</v>
      </c>
      <c r="C1" s="12" t="s">
        <v>29</v>
      </c>
    </row>
    <row r="2" spans="1:7" x14ac:dyDescent="0.25">
      <c r="A2" s="1" t="s">
        <v>23</v>
      </c>
      <c r="B2" s="1">
        <v>85</v>
      </c>
      <c r="C2" s="12" t="str" cm="1">
        <f t="array" ref="C2">_xlfn.IFS(B2&gt;=90,"A",B2&gt;=75,"B",B2&gt;=50,"C",B2,"Fail")</f>
        <v>B</v>
      </c>
    </row>
    <row r="3" spans="1:7" x14ac:dyDescent="0.25">
      <c r="A3" s="1" t="s">
        <v>24</v>
      </c>
      <c r="B3" s="1">
        <v>96</v>
      </c>
      <c r="C3" s="12" t="str" cm="1">
        <f t="array" ref="C3">_xlfn.IFS(B3&gt;=90,"A",B3&gt;=75,"B",B3&gt;=50,"C",B3,"Fail")</f>
        <v>A</v>
      </c>
    </row>
    <row r="4" spans="1:7" x14ac:dyDescent="0.25">
      <c r="A4" s="1" t="s">
        <v>25</v>
      </c>
      <c r="B4" s="1">
        <v>57</v>
      </c>
      <c r="C4" s="12" t="str" cm="1">
        <f t="array" ref="C4">_xlfn.IFS(B4&gt;=90,"A",B4&gt;=75,"B",B4&gt;=50,"C",B4,"Fail")</f>
        <v>C</v>
      </c>
    </row>
    <row r="5" spans="1:7" x14ac:dyDescent="0.25">
      <c r="A5" s="1" t="s">
        <v>26</v>
      </c>
      <c r="B5" s="1">
        <v>92</v>
      </c>
      <c r="C5" s="12" t="str" cm="1">
        <f t="array" ref="C5">_xlfn.IFS(B5&gt;=90,"A",B5&gt;=75,"B",B5&gt;=50,"C",B5,"Fail")</f>
        <v>A</v>
      </c>
    </row>
    <row r="6" spans="1:7" x14ac:dyDescent="0.25">
      <c r="A6" s="1" t="s">
        <v>27</v>
      </c>
      <c r="B6" s="1">
        <v>75</v>
      </c>
      <c r="C6" s="12" t="str" cm="1">
        <f t="array" ref="C6">_xlfn.IFS(B6&gt;=90,"A",B6&gt;=75,"B",B6&gt;=50,"C",B6,"Fail")</f>
        <v>B</v>
      </c>
    </row>
    <row r="7" spans="1:7" x14ac:dyDescent="0.25">
      <c r="A7" s="14" t="s">
        <v>31</v>
      </c>
      <c r="B7" s="14">
        <v>30</v>
      </c>
      <c r="C7" s="12" t="str" cm="1">
        <f t="array" ref="C7">_xlfn.IFS(B7&gt;=90,"A",B7&gt;=75,"B",B7&gt;=50,"C",B7,"Fail")</f>
        <v>Fail</v>
      </c>
    </row>
    <row r="9" spans="1:7" x14ac:dyDescent="0.25">
      <c r="B9" s="10" t="s">
        <v>28</v>
      </c>
      <c r="C9" s="10"/>
      <c r="D9" s="10"/>
      <c r="E9" s="10"/>
      <c r="F9" s="10"/>
      <c r="G9" s="10"/>
    </row>
    <row r="12" spans="1:7" x14ac:dyDescent="0.25">
      <c r="B12" s="13" t="s">
        <v>30</v>
      </c>
      <c r="C12" s="13" t="str" cm="1">
        <f t="array" ref="C12">_xlfn.IFS(B2&gt;=90,"A",B2&gt;=75,"B",B2&gt;=50,"C",B2,"Fail")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4736-B8B1-49B1-A3CD-8AC5E9807AA7}">
  <dimension ref="A1:G17"/>
  <sheetViews>
    <sheetView workbookViewId="0">
      <selection activeCell="M14" sqref="M14"/>
    </sheetView>
  </sheetViews>
  <sheetFormatPr defaultRowHeight="15" x14ac:dyDescent="0.25"/>
  <cols>
    <col min="3" max="3" width="11.42578125" customWidth="1"/>
  </cols>
  <sheetData>
    <row r="1" spans="1:7" x14ac:dyDescent="0.25">
      <c r="A1" t="s">
        <v>69</v>
      </c>
    </row>
    <row r="4" spans="1:7" x14ac:dyDescent="0.25">
      <c r="A4" s="2" t="s">
        <v>32</v>
      </c>
      <c r="B4" s="2" t="s">
        <v>33</v>
      </c>
      <c r="C4" s="2" t="s">
        <v>34</v>
      </c>
    </row>
    <row r="5" spans="1:7" x14ac:dyDescent="0.25">
      <c r="A5" s="1" t="s">
        <v>35</v>
      </c>
      <c r="B5" s="1" t="s">
        <v>4</v>
      </c>
      <c r="C5" s="1" t="s">
        <v>44</v>
      </c>
    </row>
    <row r="6" spans="1:7" x14ac:dyDescent="0.25">
      <c r="A6" s="1" t="s">
        <v>36</v>
      </c>
      <c r="B6" s="1" t="s">
        <v>2</v>
      </c>
      <c r="C6" s="1" t="s">
        <v>43</v>
      </c>
    </row>
    <row r="7" spans="1:7" x14ac:dyDescent="0.25">
      <c r="A7" s="1" t="s">
        <v>37</v>
      </c>
      <c r="B7" s="1" t="s">
        <v>39</v>
      </c>
      <c r="C7" s="1" t="s">
        <v>42</v>
      </c>
    </row>
    <row r="8" spans="1:7" x14ac:dyDescent="0.25">
      <c r="A8" s="1" t="s">
        <v>38</v>
      </c>
      <c r="B8" s="1" t="s">
        <v>40</v>
      </c>
      <c r="C8" s="1" t="s">
        <v>41</v>
      </c>
    </row>
    <row r="10" spans="1:7" x14ac:dyDescent="0.25">
      <c r="C10" s="10" t="s">
        <v>70</v>
      </c>
      <c r="D10" s="10"/>
      <c r="E10" s="10"/>
      <c r="F10" s="10"/>
    </row>
    <row r="11" spans="1:7" x14ac:dyDescent="0.25">
      <c r="B11" s="13" t="s">
        <v>49</v>
      </c>
      <c r="C11" s="13" t="str">
        <f>_xlfn.XLOOKUP("E103",A5:A8,C5:C8)</f>
        <v>Finance</v>
      </c>
      <c r="D11" s="10"/>
      <c r="E11" s="10"/>
      <c r="F11" s="10"/>
    </row>
    <row r="15" spans="1:7" x14ac:dyDescent="0.25">
      <c r="C15" s="26" t="s">
        <v>71</v>
      </c>
      <c r="D15" s="26"/>
      <c r="E15" s="26"/>
      <c r="F15" s="26"/>
      <c r="G15" s="26"/>
    </row>
    <row r="16" spans="1:7" x14ac:dyDescent="0.25">
      <c r="C16" s="26" t="s">
        <v>72</v>
      </c>
      <c r="D16" s="26"/>
      <c r="E16" s="26"/>
      <c r="F16" s="26"/>
      <c r="G16" s="26"/>
    </row>
    <row r="17" spans="3:7" x14ac:dyDescent="0.25">
      <c r="C17" s="26" t="s">
        <v>73</v>
      </c>
      <c r="D17" s="26"/>
      <c r="E17" s="26"/>
      <c r="F17" s="26"/>
      <c r="G17" s="2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62E1-4BF6-4C97-BCE8-FF35CBAF8894}">
  <dimension ref="A1:K7"/>
  <sheetViews>
    <sheetView workbookViewId="0">
      <selection activeCell="H7" sqref="H7"/>
    </sheetView>
  </sheetViews>
  <sheetFormatPr defaultRowHeight="15" x14ac:dyDescent="0.25"/>
  <cols>
    <col min="1" max="1" width="14.28515625" customWidth="1"/>
    <col min="2" max="2" width="17.28515625" customWidth="1"/>
  </cols>
  <sheetData>
    <row r="1" spans="1:11" ht="15.75" x14ac:dyDescent="0.25">
      <c r="A1" s="3" t="s">
        <v>45</v>
      </c>
      <c r="B1" s="3" t="s">
        <v>46</v>
      </c>
      <c r="D1" s="13" t="s">
        <v>48</v>
      </c>
      <c r="E1" s="13"/>
      <c r="F1" s="13"/>
      <c r="G1" s="13"/>
    </row>
    <row r="2" spans="1:11" x14ac:dyDescent="0.25">
      <c r="A2" s="1">
        <v>0</v>
      </c>
      <c r="B2" s="15">
        <v>0.05</v>
      </c>
      <c r="C2" s="18" t="s">
        <v>49</v>
      </c>
      <c r="D2" s="17">
        <f>VLOOKUP(F3,A2:B5,2,TRUE)</f>
        <v>0.1</v>
      </c>
      <c r="F2" s="20" t="s">
        <v>47</v>
      </c>
      <c r="G2" s="20"/>
    </row>
    <row r="3" spans="1:11" x14ac:dyDescent="0.25">
      <c r="A3" s="1">
        <v>20000</v>
      </c>
      <c r="B3" s="15">
        <v>0.1</v>
      </c>
      <c r="F3" s="21">
        <v>45000</v>
      </c>
      <c r="G3" s="19"/>
    </row>
    <row r="4" spans="1:11" x14ac:dyDescent="0.25">
      <c r="A4" s="1">
        <v>50000</v>
      </c>
      <c r="B4" s="15">
        <v>0.15</v>
      </c>
    </row>
    <row r="5" spans="1:11" x14ac:dyDescent="0.25">
      <c r="A5" s="1">
        <v>80000</v>
      </c>
      <c r="B5" s="15">
        <v>0.2</v>
      </c>
    </row>
    <row r="6" spans="1:11" x14ac:dyDescent="0.25">
      <c r="K6" s="19"/>
    </row>
    <row r="7" spans="1:11" x14ac:dyDescent="0.25">
      <c r="B7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CF0E-143E-4498-B9C2-862C59B436D2}">
  <dimension ref="A1:F8"/>
  <sheetViews>
    <sheetView workbookViewId="0">
      <selection activeCell="D20" sqref="D20"/>
    </sheetView>
  </sheetViews>
  <sheetFormatPr defaultRowHeight="15" x14ac:dyDescent="0.25"/>
  <cols>
    <col min="1" max="1" width="15.7109375" bestFit="1" customWidth="1"/>
    <col min="2" max="2" width="12.7109375" bestFit="1" customWidth="1"/>
    <col min="3" max="3" width="15" bestFit="1" customWidth="1"/>
  </cols>
  <sheetData>
    <row r="1" spans="1:6" x14ac:dyDescent="0.25">
      <c r="A1" s="2" t="s">
        <v>50</v>
      </c>
      <c r="B1" s="2" t="s">
        <v>51</v>
      </c>
      <c r="C1" s="2" t="s">
        <v>52</v>
      </c>
      <c r="D1" s="24" t="s">
        <v>68</v>
      </c>
    </row>
    <row r="2" spans="1:6" x14ac:dyDescent="0.25">
      <c r="A2" s="1" t="s">
        <v>53</v>
      </c>
      <c r="B2" s="1">
        <v>10</v>
      </c>
      <c r="C2" s="1">
        <v>12</v>
      </c>
      <c r="D2" s="25" t="str">
        <f>IF(B2&gt;C2,"Exceeded","OK")</f>
        <v>OK</v>
      </c>
      <c r="F2" t="s">
        <v>56</v>
      </c>
    </row>
    <row r="3" spans="1:6" x14ac:dyDescent="0.25">
      <c r="A3" s="1" t="s">
        <v>54</v>
      </c>
      <c r="B3" s="1">
        <v>10</v>
      </c>
      <c r="C3" s="1">
        <v>15</v>
      </c>
      <c r="D3" s="25" t="str">
        <f t="shared" ref="D3:D5" si="0">IF(B3&gt;C3,"Exceeded","OK")</f>
        <v>OK</v>
      </c>
    </row>
    <row r="4" spans="1:6" x14ac:dyDescent="0.25">
      <c r="A4" s="1" t="s">
        <v>55</v>
      </c>
      <c r="B4" s="1">
        <v>8</v>
      </c>
      <c r="C4" s="1">
        <v>12</v>
      </c>
      <c r="D4" s="25" t="str">
        <f t="shared" si="0"/>
        <v>OK</v>
      </c>
    </row>
    <row r="5" spans="1:6" x14ac:dyDescent="0.25">
      <c r="A5" s="11" t="s">
        <v>66</v>
      </c>
      <c r="B5" s="11">
        <v>19</v>
      </c>
      <c r="C5" s="11">
        <v>11</v>
      </c>
      <c r="D5" s="25" t="str">
        <f t="shared" si="0"/>
        <v>Exceeded</v>
      </c>
    </row>
    <row r="8" spans="1:6" x14ac:dyDescent="0.25">
      <c r="A8" s="18" t="s">
        <v>49</v>
      </c>
      <c r="B8" s="10" t="s">
        <v>67</v>
      </c>
      <c r="C8" s="10"/>
      <c r="D8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A7ED-0DC4-43BF-B48B-5B7DA353B7BF}">
  <dimension ref="A1:H5"/>
  <sheetViews>
    <sheetView workbookViewId="0">
      <selection activeCell="G6" sqref="G6"/>
    </sheetView>
  </sheetViews>
  <sheetFormatPr defaultRowHeight="15" x14ac:dyDescent="0.25"/>
  <sheetData>
    <row r="1" spans="1:8" ht="15.75" x14ac:dyDescent="0.25">
      <c r="A1" s="3" t="s">
        <v>32</v>
      </c>
      <c r="B1" s="3" t="s">
        <v>57</v>
      </c>
      <c r="D1" t="s">
        <v>62</v>
      </c>
    </row>
    <row r="2" spans="1:8" x14ac:dyDescent="0.25">
      <c r="A2" s="1" t="s">
        <v>38</v>
      </c>
      <c r="B2" s="1">
        <v>55000</v>
      </c>
    </row>
    <row r="3" spans="1:8" x14ac:dyDescent="0.25">
      <c r="A3" s="1" t="s">
        <v>58</v>
      </c>
      <c r="B3" s="1">
        <v>72000</v>
      </c>
      <c r="D3" s="22" t="s">
        <v>63</v>
      </c>
      <c r="E3" s="22"/>
      <c r="F3" s="22"/>
      <c r="G3" s="22"/>
      <c r="H3" s="22"/>
    </row>
    <row r="4" spans="1:8" x14ac:dyDescent="0.25">
      <c r="A4" s="1" t="s">
        <v>59</v>
      </c>
      <c r="B4" s="1">
        <v>62000</v>
      </c>
      <c r="D4" s="22"/>
      <c r="E4" s="22">
        <f>INDEX(B2:B5,MATCH("E105",A2:A5,0))</f>
        <v>72000</v>
      </c>
      <c r="F4" s="22"/>
      <c r="G4" s="22"/>
      <c r="H4" s="22"/>
    </row>
    <row r="5" spans="1:8" x14ac:dyDescent="0.25">
      <c r="A5" s="1" t="s">
        <v>36</v>
      </c>
      <c r="B5" s="1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49A1-8665-4D65-91B1-097751B51314}">
  <dimension ref="A1:I5"/>
  <sheetViews>
    <sheetView tabSelected="1" workbookViewId="0">
      <selection activeCell="K15" sqref="K15"/>
    </sheetView>
  </sheetViews>
  <sheetFormatPr defaultRowHeight="15" x14ac:dyDescent="0.25"/>
  <sheetData>
    <row r="1" spans="1:9" ht="15.75" x14ac:dyDescent="0.25">
      <c r="A1" s="3" t="s">
        <v>32</v>
      </c>
      <c r="B1" s="3" t="s">
        <v>57</v>
      </c>
    </row>
    <row r="2" spans="1:9" x14ac:dyDescent="0.25">
      <c r="A2" s="1" t="s">
        <v>35</v>
      </c>
      <c r="B2" s="1" t="s">
        <v>43</v>
      </c>
      <c r="E2" t="s">
        <v>64</v>
      </c>
    </row>
    <row r="3" spans="1:9" x14ac:dyDescent="0.25">
      <c r="A3" s="1" t="s">
        <v>60</v>
      </c>
      <c r="B3" s="1" t="s">
        <v>44</v>
      </c>
    </row>
    <row r="4" spans="1:9" x14ac:dyDescent="0.25">
      <c r="A4" s="1" t="s">
        <v>59</v>
      </c>
      <c r="B4" s="1" t="s">
        <v>41</v>
      </c>
      <c r="E4" s="23" t="s">
        <v>65</v>
      </c>
      <c r="F4" s="23"/>
      <c r="G4" s="23"/>
      <c r="H4" s="23"/>
      <c r="I4" s="23"/>
    </row>
    <row r="5" spans="1:9" x14ac:dyDescent="0.25">
      <c r="A5" s="1" t="s">
        <v>61</v>
      </c>
      <c r="B5" s="1" t="s">
        <v>42</v>
      </c>
      <c r="D5" t="s">
        <v>49</v>
      </c>
      <c r="E5" s="10" t="str">
        <f>_xlfn.XLOOKUP("E303",A2:A5,B2:B5)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 ans</vt:lpstr>
      <vt:lpstr>Q2 ans</vt:lpstr>
      <vt:lpstr>Q3 ans</vt:lpstr>
      <vt:lpstr>Q4 ans</vt:lpstr>
      <vt:lpstr>Q5 ans</vt:lpstr>
      <vt:lpstr>Q6 ans</vt:lpstr>
      <vt:lpstr>Q7 ans</vt:lpstr>
      <vt:lpstr>Q8 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Carbon Resources</dc:creator>
  <cp:lastModifiedBy>Carbon Resources</cp:lastModifiedBy>
  <dcterms:created xsi:type="dcterms:W3CDTF">2026-01-09T18:32:48Z</dcterms:created>
  <dcterms:modified xsi:type="dcterms:W3CDTF">2026-01-09T19:49:06Z</dcterms:modified>
</cp:coreProperties>
</file>